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joshj\Downloads\"/>
    </mc:Choice>
  </mc:AlternateContent>
  <xr:revisionPtr revIDLastSave="0" documentId="13_ncr:1_{A626E4B6-B902-407B-8044-37D507A6D3BC}" xr6:coauthVersionLast="47" xr6:coauthVersionMax="47" xr10:uidLastSave="{00000000-0000-0000-0000-000000000000}"/>
  <bookViews>
    <workbookView xWindow="-120" yWindow="-120" windowWidth="29040" windowHeight="15720" activeTab="1" xr2:uid="{42A9C075-41A7-4C30-AFE8-0372CD3BBE87}"/>
  </bookViews>
  <sheets>
    <sheet name="BoM" sheetId="1" r:id="rId1"/>
    <sheet name="Fasteners" sheetId="6" r:id="rId2"/>
    <sheet name="Printed Part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6" l="1"/>
  <c r="F8" i="6"/>
  <c r="F7" i="6"/>
  <c r="F6" i="6"/>
  <c r="F5" i="6"/>
  <c r="F4" i="6"/>
  <c r="F3" i="6"/>
  <c r="F21" i="1"/>
  <c r="F13" i="1"/>
  <c r="F16" i="1"/>
  <c r="F5" i="1"/>
  <c r="F6" i="1"/>
  <c r="F7" i="1"/>
  <c r="F8" i="1"/>
  <c r="F9" i="1"/>
  <c r="F10" i="1"/>
  <c r="F11" i="1"/>
  <c r="F12" i="1"/>
  <c r="F14" i="1"/>
  <c r="F15" i="1"/>
  <c r="F17" i="1"/>
  <c r="F18" i="1"/>
  <c r="F19" i="1"/>
  <c r="F20" i="1"/>
  <c r="F4" i="1"/>
  <c r="M4" i="1"/>
  <c r="M3" i="6" l="1"/>
</calcChain>
</file>

<file path=xl/sharedStrings.xml><?xml version="1.0" encoding="utf-8"?>
<sst xmlns="http://schemas.openxmlformats.org/spreadsheetml/2006/main" count="166" uniqueCount="125">
  <si>
    <t>Contraption Filament Winder Bill of Materials</t>
  </si>
  <si>
    <t>Author(s):</t>
  </si>
  <si>
    <t>Version:</t>
  </si>
  <si>
    <t>Date:</t>
  </si>
  <si>
    <t>Item Index</t>
  </si>
  <si>
    <t xml:space="preserve">Part No. </t>
  </si>
  <si>
    <t>QTY</t>
  </si>
  <si>
    <t>Part Name</t>
  </si>
  <si>
    <t>Unit Price</t>
  </si>
  <si>
    <t>Total Cost</t>
  </si>
  <si>
    <t>Description</t>
  </si>
  <si>
    <t>Supplier</t>
  </si>
  <si>
    <t>Link</t>
  </si>
  <si>
    <t>Notes</t>
  </si>
  <si>
    <t>47065T107</t>
  </si>
  <si>
    <t>72" T-Slotted Framing Double Six Slot Rail, Silver, 2" High x 1" Wide, Solid</t>
  </si>
  <si>
    <t>Main Rails</t>
  </si>
  <si>
    <t>McMaster-Carr</t>
  </si>
  <si>
    <t>https://www.mcmaster.com/47065T107-47065T125/</t>
  </si>
  <si>
    <t>Running Total:</t>
  </si>
  <si>
    <t>47065T101</t>
  </si>
  <si>
    <t>24" T-Slotted Framing Single Four Slot Rail, Silver, 1" High x 1" Wide, Solid</t>
  </si>
  <si>
    <t>Carriage and Side Rails</t>
  </si>
  <si>
    <t>https://www.mcmaster.com/47065T101-47065T209/</t>
  </si>
  <si>
    <t>6" T-Slotted Framing Single Four Slot Rail, Silver, 1" High x 1" Wide, Solid</t>
  </si>
  <si>
    <t>Carriage Vertical Rails</t>
  </si>
  <si>
    <t>https://www.mcmaster.com/47065T101-47065T553/</t>
  </si>
  <si>
    <t>BIGTREETECH Octopus V1.1 Control Board + 8xTMC2209</t>
  </si>
  <si>
    <t>Control Board</t>
  </si>
  <si>
    <t>Amazon</t>
  </si>
  <si>
    <t>https://www.amazon.com/BIGTREETECH-Compatible-Firmware-Raspberry-Printing/dp/B09713SRVP?th=1</t>
  </si>
  <si>
    <t>Confirmed by AR</t>
  </si>
  <si>
    <t>LRS-350-24</t>
  </si>
  <si>
    <t>Mean Well LRS-350-24 DC Switching Power Supply, 24V 14.6A 350W</t>
  </si>
  <si>
    <t>Power Supply</t>
  </si>
  <si>
    <t>https://www.amazon.com/gp/aw/d/B07VRK86SP?ref=ppx_pop_mob_b_asin_title&amp;th=1</t>
  </si>
  <si>
    <t>‎23HS22-2804S</t>
  </si>
  <si>
    <t>STEPPERONLINE Nema 23 CNC Stepper Motor 2.8A</t>
  </si>
  <si>
    <t>Carriage/Mandrel Motors</t>
  </si>
  <si>
    <t>https://www.amazon.com/dp/B00PNEPF5I?ref=ppx_yo2ov_dt_b_fed_asin_title</t>
  </si>
  <si>
    <t>17HS19-2004S</t>
  </si>
  <si>
    <t>STEPPERONLINE Nema 17 Stepper Motor Bipolar 2A</t>
  </si>
  <si>
    <t>Delivery Head Motor</t>
  </si>
  <si>
    <t>https://www.amazon.com/dp/B00PNEQKC0?ref=ppx_yo2ov_dt_b_fed_asin_title</t>
  </si>
  <si>
    <t>N/A</t>
  </si>
  <si>
    <t>15A 250V Rocker Switch On/Off Power Socket</t>
  </si>
  <si>
    <t>Power Socket/Switch</t>
  </si>
  <si>
    <t>https://www.amazon.com/3Dman-Rocker-Switch-Socket-C14-2pcs/dp/B07RQV2NPN?pd_rd_w=e2Hh8&amp;content-id=amzn1.sym.6fe62e4a-034b-4ffc-b3b5-3154cdd229ea&amp;pf_rd_p=6fe62e4a-034b-4ffc-b3b5-3154cdd229ea&amp;pf_rd_r=QTDNZC2FB4VMZTNHDZ5W&amp;pd_rd_wg=P68Mp&amp;pd_rd_r=7d102c2f-469a-4e82-83d8-471c97dec787&amp;ref_=sspa_mw_detail_img_1&amp;sp_csd=d2lkZ2V0TmFtZT1zcF9waG9uZV9kZXRhaWxfdGhlbWF0aWM&amp;th=1</t>
  </si>
  <si>
    <t>Recommended by AR</t>
  </si>
  <si>
    <t>6383K214</t>
  </si>
  <si>
    <t>Ball Bearing Flanged, Open with Ring, for 1/4" Shaft, 7/8" Housing ID</t>
  </si>
  <si>
    <t>Roller/Belt/Mandrel Bearings</t>
  </si>
  <si>
    <t>https://www.mcmaster.com/6383K214/</t>
  </si>
  <si>
    <t>89535K85</t>
  </si>
  <si>
    <t>Multipurpose 304/304L Stainless Steel Rod 1/4" Diameter</t>
  </si>
  <si>
    <t>Tow Axle/Resin Bath Roller/Straightener Pins</t>
  </si>
  <si>
    <t>https://www.mcmaster.com/89535K85-89535K853/</t>
  </si>
  <si>
    <t>Will need to be cut: ~3in for bath roller, 13in for tow axle, and 2in for each straightener. Additional length for pulley idler</t>
  </si>
  <si>
    <t>98306A179</t>
  </si>
  <si>
    <t>1004-1045 Carbon Steel Clevis Pin 1/4" Diameter, 3-5/16" Usable Length</t>
  </si>
  <si>
    <t>Tow Roller Pins</t>
  </si>
  <si>
    <t>https://www.mcmaster.com/98306A179/</t>
  </si>
  <si>
    <t>Pack of 25</t>
  </si>
  <si>
    <t>98306A166</t>
  </si>
  <si>
    <t>1004-1045 Carbon Steel Clevis Pin 1/4" Diameter, 1-11/16" Usable Length</t>
  </si>
  <si>
    <t>Delivery Head Roller Pin</t>
  </si>
  <si>
    <t>https://www.mcmaster.com/98306A166/</t>
  </si>
  <si>
    <t>60355K151</t>
  </si>
  <si>
    <t>Ball Bearing Open, Trade Number R4, for 1/4" Shaft Diameter</t>
  </si>
  <si>
    <t>Mandrel Belt Tensioner Bearing</t>
  </si>
  <si>
    <t>https://www.mcmaster.com/60355K151/</t>
  </si>
  <si>
    <t>1277N44</t>
  </si>
  <si>
    <t>Corrosion-Resistant Timing Belt Pulley XL Series, for 3/8" Maximum Width, with Hub, 2 Flanges, 1.094" OD</t>
  </si>
  <si>
    <t>Mandrel/Carriage Belt Tensioner</t>
  </si>
  <si>
    <t>https://www.mcmaster.com/1277N44/</t>
  </si>
  <si>
    <t>7959K25</t>
  </si>
  <si>
    <t>3/8" Wide XL Series Timing Belt</t>
  </si>
  <si>
    <t>Carriage Belt</t>
  </si>
  <si>
    <t>https://www.mcmaster.com/7959K25/</t>
  </si>
  <si>
    <t>Cost per ft, ~8ft req.</t>
  </si>
  <si>
    <t>6484K12</t>
  </si>
  <si>
    <t>XL Series Timing Belt, Trade No. 100XL025</t>
  </si>
  <si>
    <t>Mandrel Belt</t>
  </si>
  <si>
    <t>https://www.mcmaster.com/6484K12/</t>
  </si>
  <si>
    <t>1372N33</t>
  </si>
  <si>
    <t>Multipurpose Neoprene Rubber Strip with Certificate, 2" x 36", 1/16" Thick</t>
  </si>
  <si>
    <t>Resin Squeegee Material</t>
  </si>
  <si>
    <t>https://www.mcmaster.com/1372N33-1372N334/</t>
  </si>
  <si>
    <t>90492A230</t>
  </si>
  <si>
    <t>Hairpin Cotter Pins for 1/4"-3/8" Pin Diameter, 3/64" Wire Diameter</t>
  </si>
  <si>
    <t>Cotter Pins for Roller Pins</t>
  </si>
  <si>
    <t>https://www.mcmaster.com/90492A230/</t>
  </si>
  <si>
    <t>Contraption Filament Winder Bill of Materials, Fasteners</t>
  </si>
  <si>
    <t>4976N35</t>
  </si>
  <si>
    <t>End-Feed T-Slotted Framing Fasteners Nut for 1" and 25mm Rail, Center Hole, 1/4"-20 Thread</t>
  </si>
  <si>
    <t>https://www.mcmaster.com/4976N35/</t>
  </si>
  <si>
    <t>Packs of 10, 54 Needed for Build</t>
  </si>
  <si>
    <t>92949A537</t>
  </si>
  <si>
    <t>https://www.mcmaster.com/92949a537/</t>
  </si>
  <si>
    <t>Packs of 50, 54 needed</t>
  </si>
  <si>
    <t>92141A029</t>
  </si>
  <si>
    <t>18-8 Stainless Steel Washer for 1/4" Screw Size, 0.281" ID, 0.625" OD</t>
  </si>
  <si>
    <t>https://www.mcmaster.com/92141A029/</t>
  </si>
  <si>
    <t>Joshua Hall, Gavin Stearman, Chase Whitfield</t>
  </si>
  <si>
    <t>V2, Major components &amp; fasteners, no printed parts</t>
  </si>
  <si>
    <t>T Slot Nut</t>
  </si>
  <si>
    <t>18-8 Stainless Steel Button Head Hex Drive Screw 1/4"-20 Thread Size, 1/2" Long</t>
  </si>
  <si>
    <t>T Slot Screws</t>
  </si>
  <si>
    <t>https://www.mcmaster.com/91259A471/</t>
  </si>
  <si>
    <t>Roller Shoulder Screw</t>
  </si>
  <si>
    <t>Alloy Steel Shoulder Screw 1/4" Shoulder Diameter, 1-3/8" Shoulder Length, 10-24 Thread</t>
  </si>
  <si>
    <t>91259A471</t>
  </si>
  <si>
    <t>https://www.mcmaster.com/90631A011/</t>
  </si>
  <si>
    <t>Low-Strength Steel Nylon-Insert Locknut Zinc-Plated, 10-24 Thread Size</t>
  </si>
  <si>
    <t>90631A011</t>
  </si>
  <si>
    <t>Roller Nuts</t>
  </si>
  <si>
    <t>1/4" Washers</t>
  </si>
  <si>
    <t>Pack of 100</t>
  </si>
  <si>
    <t>https://www.amazon.com/mxuteuk-Assortment-Suitable-Printer-Assorted/dp/B0CKVWW9YV?crid=2QAKT1A784GL&amp;dib=eyJ2IjoiMSJ9.KshlqX_JnrgzKYfXUpVrfw4YG0SaM6Y51Grp5nuWR0gb4FCc3Wdg90qIVOXpoVllyhPapXROrePlTPztMOIQpWCY5zFS9T_ZLxX_AJxVkJ3J5JYT9pD1fW9Nxt_Zjrch9iK02hvPeMXuQRbttOp9IJz81RrNclCqyv_TYxMTpAu6BAGJmkyi4ORelxxn8bw3RRkPXOTdjp7s2mMoQnTa8FBevGbdV6MSqHoVaGthA7poJRI_N86LeN63tm-ipBHHk8om-8LO911-fzLmd9KO7H8qC1Vam5EwhvgW-ukkedci_OMBZRRXJb8DE_bCxHOiQIr4TVWDgc8MYkDFoTszn_0Etegx1Rk33EPqnrFkBOg.AUICGtCUy6LznOmMQbHusW6ZipekuyrY4f4lBIrSOPM&amp;dib_tag=se&amp;keywords=m2%2Bm3%2Bbolt%2Bassortment&amp;qid=1737506470&amp;s=industrial&amp;sprefix=m2%2Bm3%2Bbolt%2Bassortment%2Cindustrial%2C105&amp;sr=1-4&amp;th=1</t>
  </si>
  <si>
    <t>Assorted Metric Bolts</t>
  </si>
  <si>
    <t>540PCS M2 M3 Metric Screws Assortment Set</t>
  </si>
  <si>
    <t>https://www.mcmaster.com/9120K32-9120K62/</t>
  </si>
  <si>
    <t>Mandrel Rod</t>
  </si>
  <si>
    <t>Zinc-Galvanized Low-Carbon Steel Rod 1/4" Diameter</t>
  </si>
  <si>
    <t>9120K32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</si>
</sst>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9"/>
      <color rgb="FF333333"/>
      <name val="Arial"/>
      <family val="2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44" fontId="4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0" xfId="1"/>
    <xf numFmtId="8" fontId="0" fillId="0" borderId="0" xfId="0" applyNumberFormat="1"/>
    <xf numFmtId="8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/>
    </xf>
    <xf numFmtId="8" fontId="0" fillId="0" borderId="0" xfId="2" applyNumberFormat="1" applyFont="1" applyAlignment="1">
      <alignment horizontal="center" vertical="center"/>
    </xf>
    <xf numFmtId="0" fontId="1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/>
    </xf>
    <xf numFmtId="0" fontId="8" fillId="0" borderId="0" xfId="0" applyFont="1"/>
    <xf numFmtId="0" fontId="0" fillId="0" borderId="0" xfId="0" applyFont="1"/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3Dman-Rocker-Switch-Socket-C14-2pcs/dp/B07RQV2NPN?pd_rd_w=e2Hh8&amp;content-id=amzn1.sym.6fe62e4a-034b-4ffc-b3b5-3154cdd229ea&amp;pf_rd_p=6fe62e4a-034b-4ffc-b3b5-3154cdd229ea&amp;pf_rd_r=QTDNZC2FB4VMZTNHDZ5W&amp;pd_rd_wg=P68Mp&amp;pd_rd_r=7d102c2f-469a-4e82-83d8-471c97dec787&amp;ref_=sspa_mw_detail_img_1&amp;sp_csd=d2lkZ2V0TmFtZT1zcF9waG9uZV9kZXRhaWxfdGhlbWF0aWM&amp;th=1" TargetMode="External"/><Relationship Id="rId13" Type="http://schemas.openxmlformats.org/officeDocument/2006/relationships/hyperlink" Target="https://www.mcmaster.com/1277N44/" TargetMode="External"/><Relationship Id="rId18" Type="http://schemas.openxmlformats.org/officeDocument/2006/relationships/hyperlink" Target="https://www.mcmaster.com/89535K85-89535K853/" TargetMode="External"/><Relationship Id="rId3" Type="http://schemas.openxmlformats.org/officeDocument/2006/relationships/hyperlink" Target="https://www.mcmaster.com/47065T101-47065T553/" TargetMode="External"/><Relationship Id="rId7" Type="http://schemas.openxmlformats.org/officeDocument/2006/relationships/hyperlink" Target="https://www.amazon.com/gp/aw/d/B07VRK86SP?ref=ppx_pop_mob_b_asin_title&amp;th=1" TargetMode="External"/><Relationship Id="rId12" Type="http://schemas.openxmlformats.org/officeDocument/2006/relationships/hyperlink" Target="https://www.mcmaster.com/60355K151/" TargetMode="External"/><Relationship Id="rId17" Type="http://schemas.openxmlformats.org/officeDocument/2006/relationships/hyperlink" Target="https://www.mcmaster.com/90492A230/" TargetMode="External"/><Relationship Id="rId2" Type="http://schemas.openxmlformats.org/officeDocument/2006/relationships/hyperlink" Target="https://www.mcmaster.com/47065T101-47065T209/" TargetMode="External"/><Relationship Id="rId16" Type="http://schemas.openxmlformats.org/officeDocument/2006/relationships/hyperlink" Target="https://www.mcmaster.com/1372N33-1372N334/" TargetMode="External"/><Relationship Id="rId1" Type="http://schemas.openxmlformats.org/officeDocument/2006/relationships/hyperlink" Target="https://www.mcmaster.com/47065T107-47065T125/" TargetMode="External"/><Relationship Id="rId6" Type="http://schemas.openxmlformats.org/officeDocument/2006/relationships/hyperlink" Target="https://www.amazon.com/dp/B00PNEQKC0?ref=ppx_yo2ov_dt_b_fed_asin_title" TargetMode="External"/><Relationship Id="rId11" Type="http://schemas.openxmlformats.org/officeDocument/2006/relationships/hyperlink" Target="https://www.mcmaster.com/98306A166/" TargetMode="External"/><Relationship Id="rId5" Type="http://schemas.openxmlformats.org/officeDocument/2006/relationships/hyperlink" Target="https://www.amazon.com/dp/B00PNEPF5I?ref=ppx_yo2ov_dt_b_fed_asin_title" TargetMode="External"/><Relationship Id="rId15" Type="http://schemas.openxmlformats.org/officeDocument/2006/relationships/hyperlink" Target="https://www.mcmaster.com/6484K12/" TargetMode="External"/><Relationship Id="rId10" Type="http://schemas.openxmlformats.org/officeDocument/2006/relationships/hyperlink" Target="https://www.mcmaster.com/98306A179/" TargetMode="External"/><Relationship Id="rId4" Type="http://schemas.openxmlformats.org/officeDocument/2006/relationships/hyperlink" Target="https://www.amazon.com/BIGTREETECH-Compatible-Firmware-Raspberry-Printing/dp/B09713SRVP?th=1" TargetMode="External"/><Relationship Id="rId9" Type="http://schemas.openxmlformats.org/officeDocument/2006/relationships/hyperlink" Target="https://www.mcmaster.com/6383K214/" TargetMode="External"/><Relationship Id="rId14" Type="http://schemas.openxmlformats.org/officeDocument/2006/relationships/hyperlink" Target="https://www.mcmaster.com/7959K25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cmaster.com/92141A029/" TargetMode="External"/><Relationship Id="rId2" Type="http://schemas.openxmlformats.org/officeDocument/2006/relationships/hyperlink" Target="https://www.mcmaster.com/92949a537/" TargetMode="External"/><Relationship Id="rId1" Type="http://schemas.openxmlformats.org/officeDocument/2006/relationships/hyperlink" Target="https://www.mcmaster.com/4976N35/" TargetMode="External"/><Relationship Id="rId5" Type="http://schemas.openxmlformats.org/officeDocument/2006/relationships/hyperlink" Target="https://www.mcmaster.com/90631A011/" TargetMode="External"/><Relationship Id="rId4" Type="http://schemas.openxmlformats.org/officeDocument/2006/relationships/hyperlink" Target="https://www.mcmaster.com/91259A47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BDE6B-B0C9-4E39-B201-D76C49976CB6}">
  <dimension ref="A1:M30"/>
  <sheetViews>
    <sheetView workbookViewId="0">
      <selection activeCell="I13" sqref="I13"/>
    </sheetView>
  </sheetViews>
  <sheetFormatPr defaultRowHeight="15" x14ac:dyDescent="0.25"/>
  <cols>
    <col min="1" max="1" width="10.5703125" bestFit="1" customWidth="1"/>
    <col min="2" max="2" width="13.42578125" customWidth="1"/>
    <col min="3" max="3" width="12.7109375" style="1" customWidth="1"/>
    <col min="4" max="4" width="32" customWidth="1"/>
    <col min="5" max="5" width="13.140625" style="1" customWidth="1"/>
    <col min="6" max="6" width="12.7109375" style="1" customWidth="1"/>
    <col min="7" max="7" width="40.7109375" bestFit="1" customWidth="1"/>
    <col min="8" max="8" width="14.140625" bestFit="1" customWidth="1"/>
    <col min="9" max="9" width="47" bestFit="1" customWidth="1"/>
    <col min="10" max="10" width="21.140625" bestFit="1" customWidth="1"/>
    <col min="11" max="11" width="12.7109375" customWidth="1"/>
    <col min="12" max="12" width="13.85546875" customWidth="1"/>
    <col min="13" max="14" width="12.7109375" customWidth="1"/>
  </cols>
  <sheetData>
    <row r="1" spans="1:13" ht="61.5" customHeight="1" thickBot="1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3" ht="32.25" customHeight="1" thickBot="1" x14ac:dyDescent="0.3">
      <c r="A2" s="3" t="s">
        <v>1</v>
      </c>
      <c r="B2" s="14" t="s">
        <v>103</v>
      </c>
      <c r="C2" s="14"/>
      <c r="D2" s="14"/>
      <c r="E2" s="3" t="s">
        <v>2</v>
      </c>
      <c r="F2" s="15" t="s">
        <v>104</v>
      </c>
      <c r="G2" s="15"/>
      <c r="H2" s="3" t="s">
        <v>3</v>
      </c>
      <c r="I2" s="16">
        <v>45678</v>
      </c>
      <c r="J2" s="16"/>
    </row>
    <row r="3" spans="1:13" ht="24.75" customHeight="1" thickTop="1" thickBot="1" x14ac:dyDescent="0.3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</row>
    <row r="4" spans="1:13" ht="18.75" customHeight="1" x14ac:dyDescent="0.25">
      <c r="A4" s="7">
        <v>1</v>
      </c>
      <c r="B4" t="s">
        <v>14</v>
      </c>
      <c r="C4" s="1">
        <v>2</v>
      </c>
      <c r="D4" t="s">
        <v>15</v>
      </c>
      <c r="E4" s="6">
        <v>56.12</v>
      </c>
      <c r="F4" s="6">
        <f>E4*C4</f>
        <v>112.24</v>
      </c>
      <c r="G4" t="s">
        <v>16</v>
      </c>
      <c r="H4" t="s">
        <v>17</v>
      </c>
      <c r="I4" s="4" t="s">
        <v>18</v>
      </c>
      <c r="L4" s="9" t="s">
        <v>19</v>
      </c>
      <c r="M4" s="5">
        <f>SUM(F4:F1048576)</f>
        <v>605.04000000000008</v>
      </c>
    </row>
    <row r="5" spans="1:13" ht="18.75" customHeight="1" x14ac:dyDescent="0.25">
      <c r="A5" s="7">
        <v>2</v>
      </c>
      <c r="B5" t="s">
        <v>20</v>
      </c>
      <c r="C5" s="1">
        <v>4</v>
      </c>
      <c r="D5" t="s">
        <v>21</v>
      </c>
      <c r="E5" s="6">
        <v>11.67</v>
      </c>
      <c r="F5" s="6">
        <f t="shared" ref="F5:F11" si="0">E5*C5</f>
        <v>46.68</v>
      </c>
      <c r="G5" t="s">
        <v>22</v>
      </c>
      <c r="H5" t="s">
        <v>17</v>
      </c>
      <c r="I5" s="4" t="s">
        <v>23</v>
      </c>
    </row>
    <row r="6" spans="1:13" ht="18.75" customHeight="1" x14ac:dyDescent="0.25">
      <c r="A6" s="7">
        <v>3</v>
      </c>
      <c r="B6" t="s">
        <v>20</v>
      </c>
      <c r="C6" s="1">
        <v>2</v>
      </c>
      <c r="D6" t="s">
        <v>24</v>
      </c>
      <c r="E6" s="6">
        <v>6.06</v>
      </c>
      <c r="F6" s="6">
        <f t="shared" si="0"/>
        <v>12.12</v>
      </c>
      <c r="G6" t="s">
        <v>25</v>
      </c>
      <c r="H6" t="s">
        <v>17</v>
      </c>
      <c r="I6" s="4" t="s">
        <v>26</v>
      </c>
    </row>
    <row r="7" spans="1:13" ht="18.75" customHeight="1" x14ac:dyDescent="0.25">
      <c r="A7" s="7">
        <v>4</v>
      </c>
      <c r="C7" s="1">
        <v>1</v>
      </c>
      <c r="D7" t="s">
        <v>27</v>
      </c>
      <c r="E7" s="6">
        <v>83.99</v>
      </c>
      <c r="F7" s="6">
        <f t="shared" si="0"/>
        <v>83.99</v>
      </c>
      <c r="G7" t="s">
        <v>28</v>
      </c>
      <c r="H7" t="s">
        <v>29</v>
      </c>
      <c r="I7" s="4" t="s">
        <v>30</v>
      </c>
      <c r="J7" t="s">
        <v>31</v>
      </c>
    </row>
    <row r="8" spans="1:13" ht="18.75" customHeight="1" x14ac:dyDescent="0.25">
      <c r="A8" s="7">
        <v>5</v>
      </c>
      <c r="B8" t="s">
        <v>32</v>
      </c>
      <c r="C8" s="1">
        <v>1</v>
      </c>
      <c r="D8" t="s">
        <v>33</v>
      </c>
      <c r="E8" s="6">
        <v>34.97</v>
      </c>
      <c r="F8" s="6">
        <f t="shared" si="0"/>
        <v>34.97</v>
      </c>
      <c r="G8" t="s">
        <v>34</v>
      </c>
      <c r="H8" t="s">
        <v>29</v>
      </c>
      <c r="I8" s="4" t="s">
        <v>35</v>
      </c>
      <c r="J8" t="s">
        <v>31</v>
      </c>
    </row>
    <row r="9" spans="1:13" ht="18.75" customHeight="1" x14ac:dyDescent="0.25">
      <c r="A9" s="7">
        <v>6</v>
      </c>
      <c r="B9" t="s">
        <v>36</v>
      </c>
      <c r="C9" s="1">
        <v>2</v>
      </c>
      <c r="D9" t="s">
        <v>37</v>
      </c>
      <c r="E9" s="6">
        <v>25.99</v>
      </c>
      <c r="F9" s="6">
        <f t="shared" si="0"/>
        <v>51.98</v>
      </c>
      <c r="G9" t="s">
        <v>38</v>
      </c>
      <c r="H9" t="s">
        <v>29</v>
      </c>
      <c r="I9" s="4" t="s">
        <v>39</v>
      </c>
      <c r="J9" t="s">
        <v>31</v>
      </c>
    </row>
    <row r="10" spans="1:13" ht="18.75" customHeight="1" x14ac:dyDescent="0.25">
      <c r="A10" s="7">
        <v>7</v>
      </c>
      <c r="B10" t="s">
        <v>40</v>
      </c>
      <c r="C10" s="1">
        <v>1</v>
      </c>
      <c r="D10" t="s">
        <v>41</v>
      </c>
      <c r="E10" s="6">
        <v>13.99</v>
      </c>
      <c r="F10" s="6">
        <f t="shared" si="0"/>
        <v>13.99</v>
      </c>
      <c r="G10" t="s">
        <v>42</v>
      </c>
      <c r="H10" t="s">
        <v>29</v>
      </c>
      <c r="I10" s="4" t="s">
        <v>43</v>
      </c>
      <c r="J10" t="s">
        <v>31</v>
      </c>
    </row>
    <row r="11" spans="1:13" ht="18.75" customHeight="1" x14ac:dyDescent="0.25">
      <c r="A11" s="7">
        <v>8</v>
      </c>
      <c r="B11" t="s">
        <v>44</v>
      </c>
      <c r="C11" s="1">
        <v>1</v>
      </c>
      <c r="D11" t="s">
        <v>45</v>
      </c>
      <c r="E11" s="6">
        <v>7.99</v>
      </c>
      <c r="F11" s="6">
        <f t="shared" si="0"/>
        <v>7.99</v>
      </c>
      <c r="G11" t="s">
        <v>46</v>
      </c>
      <c r="H11" t="s">
        <v>29</v>
      </c>
      <c r="I11" s="4" t="s">
        <v>47</v>
      </c>
      <c r="J11" t="s">
        <v>48</v>
      </c>
    </row>
    <row r="12" spans="1:13" ht="18.75" customHeight="1" x14ac:dyDescent="0.25">
      <c r="A12" s="7">
        <v>9</v>
      </c>
      <c r="B12" t="s">
        <v>49</v>
      </c>
      <c r="C12" s="1">
        <v>11</v>
      </c>
      <c r="D12" t="s">
        <v>50</v>
      </c>
      <c r="E12" s="6">
        <v>7.83</v>
      </c>
      <c r="F12" s="6">
        <f t="shared" ref="F12:F21" si="1">E12*C12</f>
        <v>86.13</v>
      </c>
      <c r="G12" t="s">
        <v>51</v>
      </c>
      <c r="H12" t="s">
        <v>17</v>
      </c>
      <c r="I12" s="4" t="s">
        <v>52</v>
      </c>
    </row>
    <row r="13" spans="1:13" ht="18.75" customHeight="1" x14ac:dyDescent="0.25">
      <c r="A13" s="7">
        <v>10</v>
      </c>
      <c r="B13" t="s">
        <v>53</v>
      </c>
      <c r="C13" s="1">
        <v>1</v>
      </c>
      <c r="D13" t="s">
        <v>54</v>
      </c>
      <c r="E13" s="8">
        <v>5.22</v>
      </c>
      <c r="F13" s="6">
        <f t="shared" si="1"/>
        <v>5.22</v>
      </c>
      <c r="G13" t="s">
        <v>55</v>
      </c>
      <c r="H13" t="s">
        <v>17</v>
      </c>
      <c r="I13" s="4" t="s">
        <v>56</v>
      </c>
      <c r="J13" t="s">
        <v>57</v>
      </c>
    </row>
    <row r="14" spans="1:13" ht="18.75" customHeight="1" x14ac:dyDescent="0.25">
      <c r="A14" s="7">
        <v>11</v>
      </c>
      <c r="B14" t="s">
        <v>58</v>
      </c>
      <c r="C14" s="1">
        <v>1</v>
      </c>
      <c r="D14" t="s">
        <v>59</v>
      </c>
      <c r="E14" s="6">
        <v>19.420000000000002</v>
      </c>
      <c r="F14" s="6">
        <f t="shared" si="1"/>
        <v>19.420000000000002</v>
      </c>
      <c r="G14" t="s">
        <v>60</v>
      </c>
      <c r="H14" t="s">
        <v>17</v>
      </c>
      <c r="I14" s="4" t="s">
        <v>61</v>
      </c>
      <c r="J14" t="s">
        <v>62</v>
      </c>
      <c r="L14" s="10"/>
    </row>
    <row r="15" spans="1:13" ht="18.75" customHeight="1" x14ac:dyDescent="0.25">
      <c r="A15" s="7">
        <v>12</v>
      </c>
      <c r="B15" t="s">
        <v>63</v>
      </c>
      <c r="C15" s="1">
        <v>1</v>
      </c>
      <c r="D15" t="s">
        <v>64</v>
      </c>
      <c r="E15" s="6">
        <v>10.1</v>
      </c>
      <c r="F15" s="6">
        <f t="shared" si="1"/>
        <v>10.1</v>
      </c>
      <c r="G15" t="s">
        <v>65</v>
      </c>
      <c r="H15" t="s">
        <v>17</v>
      </c>
      <c r="I15" s="4" t="s">
        <v>66</v>
      </c>
      <c r="J15" t="s">
        <v>62</v>
      </c>
    </row>
    <row r="16" spans="1:13" ht="18.75" customHeight="1" x14ac:dyDescent="0.25">
      <c r="A16" s="7">
        <v>13</v>
      </c>
      <c r="B16" t="s">
        <v>67</v>
      </c>
      <c r="C16" s="1">
        <v>1</v>
      </c>
      <c r="D16" t="s">
        <v>68</v>
      </c>
      <c r="E16" s="6">
        <v>6.79</v>
      </c>
      <c r="F16" s="6">
        <f t="shared" si="1"/>
        <v>6.79</v>
      </c>
      <c r="G16" t="s">
        <v>69</v>
      </c>
      <c r="H16" t="s">
        <v>17</v>
      </c>
      <c r="I16" s="4" t="s">
        <v>70</v>
      </c>
    </row>
    <row r="17" spans="1:10" ht="18.75" customHeight="1" x14ac:dyDescent="0.25">
      <c r="A17" s="7">
        <v>14</v>
      </c>
      <c r="B17" t="s">
        <v>71</v>
      </c>
      <c r="C17" s="1">
        <v>4</v>
      </c>
      <c r="D17" t="s">
        <v>72</v>
      </c>
      <c r="E17" s="6">
        <v>11.16</v>
      </c>
      <c r="F17" s="6">
        <f t="shared" si="1"/>
        <v>44.64</v>
      </c>
      <c r="G17" t="s">
        <v>73</v>
      </c>
      <c r="H17" t="s">
        <v>17</v>
      </c>
      <c r="I17" s="4" t="s">
        <v>74</v>
      </c>
    </row>
    <row r="18" spans="1:10" ht="18.75" customHeight="1" x14ac:dyDescent="0.25">
      <c r="A18" s="7">
        <v>15</v>
      </c>
      <c r="B18" t="s">
        <v>75</v>
      </c>
      <c r="C18" s="1">
        <v>9</v>
      </c>
      <c r="D18" t="s">
        <v>76</v>
      </c>
      <c r="E18" s="6">
        <v>5.43</v>
      </c>
      <c r="F18" s="6">
        <f t="shared" si="1"/>
        <v>48.87</v>
      </c>
      <c r="G18" t="s">
        <v>77</v>
      </c>
      <c r="H18" t="s">
        <v>17</v>
      </c>
      <c r="I18" s="4" t="s">
        <v>78</v>
      </c>
      <c r="J18" t="s">
        <v>79</v>
      </c>
    </row>
    <row r="19" spans="1:10" ht="18.75" customHeight="1" x14ac:dyDescent="0.25">
      <c r="A19" s="7">
        <v>16</v>
      </c>
      <c r="B19" t="s">
        <v>80</v>
      </c>
      <c r="C19" s="1">
        <v>1</v>
      </c>
      <c r="D19" t="s">
        <v>81</v>
      </c>
      <c r="E19" s="6">
        <v>6.51</v>
      </c>
      <c r="F19" s="6">
        <f t="shared" si="1"/>
        <v>6.51</v>
      </c>
      <c r="G19" t="s">
        <v>82</v>
      </c>
      <c r="H19" t="s">
        <v>17</v>
      </c>
      <c r="I19" s="4" t="s">
        <v>83</v>
      </c>
    </row>
    <row r="20" spans="1:10" ht="18.75" customHeight="1" x14ac:dyDescent="0.25">
      <c r="A20" s="7">
        <v>17</v>
      </c>
      <c r="B20" t="s">
        <v>84</v>
      </c>
      <c r="C20" s="1">
        <v>1</v>
      </c>
      <c r="D20" t="s">
        <v>85</v>
      </c>
      <c r="E20" s="6">
        <v>9.73</v>
      </c>
      <c r="F20" s="6">
        <f t="shared" si="1"/>
        <v>9.73</v>
      </c>
      <c r="G20" t="s">
        <v>86</v>
      </c>
      <c r="H20" t="s">
        <v>17</v>
      </c>
      <c r="I20" s="4" t="s">
        <v>87</v>
      </c>
    </row>
    <row r="21" spans="1:10" ht="18.75" customHeight="1" x14ac:dyDescent="0.25">
      <c r="A21" s="7">
        <v>18</v>
      </c>
      <c r="B21" s="11" t="s">
        <v>88</v>
      </c>
      <c r="C21" s="1">
        <v>1</v>
      </c>
      <c r="D21" t="s">
        <v>89</v>
      </c>
      <c r="E21" s="6">
        <v>3.67</v>
      </c>
      <c r="F21" s="6">
        <f t="shared" si="1"/>
        <v>3.67</v>
      </c>
      <c r="G21" t="s">
        <v>90</v>
      </c>
      <c r="H21" t="s">
        <v>17</v>
      </c>
      <c r="I21" s="4" t="s">
        <v>91</v>
      </c>
      <c r="J21" t="s">
        <v>62</v>
      </c>
    </row>
    <row r="22" spans="1:10" ht="18.75" customHeight="1" x14ac:dyDescent="0.25">
      <c r="A22" s="7"/>
      <c r="F22" s="6"/>
    </row>
    <row r="23" spans="1:10" ht="18.75" customHeight="1" x14ac:dyDescent="0.25">
      <c r="A23" s="7"/>
      <c r="F23" s="6"/>
    </row>
    <row r="24" spans="1:10" ht="18.75" customHeight="1" x14ac:dyDescent="0.25">
      <c r="A24" s="7"/>
      <c r="F24" s="6"/>
    </row>
    <row r="25" spans="1:10" ht="18.75" customHeight="1" x14ac:dyDescent="0.25">
      <c r="A25" s="7"/>
      <c r="F25" s="6"/>
    </row>
    <row r="26" spans="1:10" ht="18.75" customHeight="1" x14ac:dyDescent="0.25">
      <c r="A26" s="7"/>
      <c r="F26" s="6"/>
    </row>
    <row r="27" spans="1:10" ht="18.75" customHeight="1" x14ac:dyDescent="0.25">
      <c r="A27" s="7"/>
      <c r="F27" s="6"/>
    </row>
    <row r="28" spans="1:10" ht="18.75" customHeight="1" x14ac:dyDescent="0.25">
      <c r="A28" s="7"/>
      <c r="F28" s="6"/>
    </row>
    <row r="29" spans="1:10" ht="18.75" customHeight="1" x14ac:dyDescent="0.25">
      <c r="A29" s="7"/>
      <c r="F29" s="6"/>
    </row>
    <row r="30" spans="1:10" ht="18.75" customHeight="1" x14ac:dyDescent="0.25">
      <c r="A30" s="7"/>
      <c r="F30" s="6"/>
    </row>
  </sheetData>
  <mergeCells count="4">
    <mergeCell ref="A1:J1"/>
    <mergeCell ref="B2:D2"/>
    <mergeCell ref="F2:G2"/>
    <mergeCell ref="I2:J2"/>
  </mergeCells>
  <hyperlinks>
    <hyperlink ref="I4" r:id="rId1" xr:uid="{D9A79974-D4C4-4DD3-A94E-0DDF10EA928E}"/>
    <hyperlink ref="I5" r:id="rId2" xr:uid="{AAC99766-4675-48CF-9F8E-FDC3F107E3CC}"/>
    <hyperlink ref="I6" r:id="rId3" xr:uid="{380AFB8C-C132-4BC8-A5FA-EF5ACCB410B0}"/>
    <hyperlink ref="I7" r:id="rId4" xr:uid="{89823D16-643B-4580-B121-2B609C6AAE0E}"/>
    <hyperlink ref="I9" r:id="rId5" xr:uid="{D7C2CCDF-64B2-4726-8D07-BD125C1883FB}"/>
    <hyperlink ref="I10" r:id="rId6" xr:uid="{22A1773D-1FCB-4DBC-B133-E73F0E3D7CF2}"/>
    <hyperlink ref="I8" r:id="rId7" xr:uid="{CE111E6C-3243-4073-8CF3-8D324EE0F1E8}"/>
    <hyperlink ref="I11" r:id="rId8" display="https://www.amazon.com/3Dman-Rocker-Switch-Socket-C14-2pcs/dp/B07RQV2NPN?pd_rd_w=e2Hh8&amp;content-id=amzn1.sym.6fe62e4a-034b-4ffc-b3b5-3154cdd229ea&amp;pf_rd_p=6fe62e4a-034b-4ffc-b3b5-3154cdd229ea&amp;pf_rd_r=QTDNZC2FB4VMZTNHDZ5W&amp;pd_rd_wg=P68Mp&amp;pd_rd_r=7d102c2f-469a-4e82-83d8-471c97dec787&amp;ref_=sspa_mw_detail_img_1&amp;sp_csd=d2lkZ2V0TmFtZT1zcF9waG9uZV9kZXRhaWxfdGhlbWF0aWM&amp;th=1" xr:uid="{E69E4191-55F1-4C8E-B4DA-4289395DCBD3}"/>
    <hyperlink ref="I12" r:id="rId9" xr:uid="{6DB3D76E-F412-4B8D-ABFB-ABF19762B0CE}"/>
    <hyperlink ref="I14" r:id="rId10" xr:uid="{A1EC5338-9C0C-4B8E-BE2B-6F71CFBAFED1}"/>
    <hyperlink ref="I15" r:id="rId11" xr:uid="{E94C0D90-5018-4361-90A2-81CA6BE6C5B5}"/>
    <hyperlink ref="I16" r:id="rId12" xr:uid="{38C560F4-69AD-4949-934D-CBF3FBF9CBD8}"/>
    <hyperlink ref="I17" r:id="rId13" xr:uid="{3C6D8001-FF21-40B9-A908-2C358B7C09BA}"/>
    <hyperlink ref="I18" r:id="rId14" xr:uid="{2300F865-252F-4F9C-8197-ECC3DD3C2F2F}"/>
    <hyperlink ref="I19" r:id="rId15" xr:uid="{712623D5-080D-4D8D-9A35-E81A10BB50B4}"/>
    <hyperlink ref="I20" r:id="rId16" xr:uid="{1BB32655-F3BD-4918-9369-D831CBE4F86F}"/>
    <hyperlink ref="I21" r:id="rId17" xr:uid="{4E43132D-8B43-4AFF-AEBA-4A8EBCBC76C7}"/>
    <hyperlink ref="I13" r:id="rId18" xr:uid="{68C0D140-C036-4503-81FE-CC403C392F1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162D2-57E2-4B55-8D39-5CE19A7418D7}">
  <dimension ref="A1:M28"/>
  <sheetViews>
    <sheetView tabSelected="1" workbookViewId="0">
      <selection activeCell="F15" sqref="F15"/>
    </sheetView>
  </sheetViews>
  <sheetFormatPr defaultRowHeight="15" x14ac:dyDescent="0.25"/>
  <cols>
    <col min="1" max="1" width="10.5703125" bestFit="1" customWidth="1"/>
    <col min="2" max="2" width="13.42578125" customWidth="1"/>
    <col min="3" max="3" width="12.7109375" style="1" customWidth="1"/>
    <col min="4" max="4" width="32" customWidth="1"/>
    <col min="5" max="5" width="13.140625" style="1" customWidth="1"/>
    <col min="6" max="6" width="12.7109375" style="1" customWidth="1"/>
    <col min="7" max="7" width="40.7109375" bestFit="1" customWidth="1"/>
    <col min="8" max="8" width="14.140625" bestFit="1" customWidth="1"/>
    <col min="9" max="9" width="47" bestFit="1" customWidth="1"/>
    <col min="10" max="10" width="21.140625" bestFit="1" customWidth="1"/>
    <col min="11" max="11" width="12.7109375" customWidth="1"/>
    <col min="12" max="12" width="13.85546875" customWidth="1"/>
    <col min="13" max="14" width="12.7109375" customWidth="1"/>
  </cols>
  <sheetData>
    <row r="1" spans="1:13" ht="61.5" customHeight="1" thickBot="1" x14ac:dyDescent="0.3">
      <c r="A1" s="13" t="s">
        <v>92</v>
      </c>
      <c r="B1" s="13"/>
      <c r="C1" s="13"/>
      <c r="D1" s="13"/>
      <c r="E1" s="13"/>
      <c r="F1" s="13"/>
      <c r="G1" s="13"/>
      <c r="H1" s="13"/>
      <c r="I1" s="13"/>
      <c r="J1" s="13"/>
    </row>
    <row r="2" spans="1:13" ht="24.75" customHeight="1" thickTop="1" thickBot="1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</row>
    <row r="3" spans="1:13" ht="18.75" customHeight="1" x14ac:dyDescent="0.25">
      <c r="A3" s="7">
        <v>1</v>
      </c>
      <c r="B3" t="s">
        <v>93</v>
      </c>
      <c r="C3" s="1">
        <v>6</v>
      </c>
      <c r="D3" t="s">
        <v>94</v>
      </c>
      <c r="E3" s="6">
        <v>9.1300000000000008</v>
      </c>
      <c r="F3" s="6">
        <f>E3*C3</f>
        <v>54.78</v>
      </c>
      <c r="G3" t="s">
        <v>105</v>
      </c>
      <c r="H3" t="s">
        <v>17</v>
      </c>
      <c r="I3" s="4" t="s">
        <v>95</v>
      </c>
      <c r="J3" t="s">
        <v>96</v>
      </c>
      <c r="L3" s="9" t="s">
        <v>19</v>
      </c>
      <c r="M3" s="5">
        <f>SUM(F3:F1048576)</f>
        <v>129.71</v>
      </c>
    </row>
    <row r="4" spans="1:13" ht="18.75" customHeight="1" x14ac:dyDescent="0.25">
      <c r="A4" s="7">
        <v>2</v>
      </c>
      <c r="B4" t="s">
        <v>97</v>
      </c>
      <c r="C4" s="1">
        <v>2</v>
      </c>
      <c r="D4" t="s">
        <v>106</v>
      </c>
      <c r="E4" s="6">
        <v>6.99</v>
      </c>
      <c r="F4" s="6">
        <f t="shared" ref="F4:F9" si="0">E4*C4</f>
        <v>13.98</v>
      </c>
      <c r="G4" t="s">
        <v>107</v>
      </c>
      <c r="H4" t="s">
        <v>17</v>
      </c>
      <c r="I4" s="4" t="s">
        <v>98</v>
      </c>
      <c r="J4" t="s">
        <v>99</v>
      </c>
    </row>
    <row r="5" spans="1:13" ht="18.75" customHeight="1" x14ac:dyDescent="0.25">
      <c r="A5" s="7">
        <v>3</v>
      </c>
      <c r="B5" t="s">
        <v>111</v>
      </c>
      <c r="C5" s="1">
        <v>4</v>
      </c>
      <c r="D5" t="s">
        <v>110</v>
      </c>
      <c r="E5" s="6">
        <v>8.3000000000000007</v>
      </c>
      <c r="F5" s="6">
        <f t="shared" si="0"/>
        <v>33.200000000000003</v>
      </c>
      <c r="G5" t="s">
        <v>109</v>
      </c>
      <c r="H5" s="17" t="s">
        <v>17</v>
      </c>
      <c r="I5" s="4" t="s">
        <v>108</v>
      </c>
      <c r="J5" s="12"/>
    </row>
    <row r="6" spans="1:13" ht="18.75" customHeight="1" x14ac:dyDescent="0.25">
      <c r="A6" s="7">
        <v>4</v>
      </c>
      <c r="B6" t="s">
        <v>100</v>
      </c>
      <c r="C6" s="1">
        <v>1</v>
      </c>
      <c r="D6" t="s">
        <v>101</v>
      </c>
      <c r="E6" s="6">
        <v>5.5</v>
      </c>
      <c r="F6" s="6">
        <f t="shared" si="0"/>
        <v>5.5</v>
      </c>
      <c r="G6" t="s">
        <v>116</v>
      </c>
      <c r="H6" t="s">
        <v>17</v>
      </c>
      <c r="I6" s="4" t="s">
        <v>102</v>
      </c>
      <c r="J6" t="s">
        <v>117</v>
      </c>
    </row>
    <row r="7" spans="1:13" ht="18.75" customHeight="1" x14ac:dyDescent="0.25">
      <c r="A7" s="7">
        <v>5</v>
      </c>
      <c r="B7" t="s">
        <v>114</v>
      </c>
      <c r="C7" s="1">
        <v>1</v>
      </c>
      <c r="D7" s="18" t="s">
        <v>113</v>
      </c>
      <c r="E7" s="6">
        <v>4.8</v>
      </c>
      <c r="F7" s="6">
        <f t="shared" si="0"/>
        <v>4.8</v>
      </c>
      <c r="G7" t="s">
        <v>115</v>
      </c>
      <c r="H7" t="s">
        <v>17</v>
      </c>
      <c r="I7" s="4" t="s">
        <v>112</v>
      </c>
      <c r="J7" t="s">
        <v>117</v>
      </c>
    </row>
    <row r="8" spans="1:13" ht="18.75" customHeight="1" x14ac:dyDescent="0.25">
      <c r="A8" s="7">
        <v>6</v>
      </c>
      <c r="C8" s="1">
        <v>1</v>
      </c>
      <c r="D8" t="s">
        <v>120</v>
      </c>
      <c r="E8" s="6">
        <v>9.99</v>
      </c>
      <c r="F8" s="6">
        <f t="shared" si="0"/>
        <v>9.99</v>
      </c>
      <c r="G8" s="18" t="s">
        <v>119</v>
      </c>
      <c r="H8" t="s">
        <v>29</v>
      </c>
      <c r="I8" s="4" t="s">
        <v>118</v>
      </c>
    </row>
    <row r="9" spans="1:13" ht="18.75" customHeight="1" x14ac:dyDescent="0.25">
      <c r="A9" s="7">
        <v>7</v>
      </c>
      <c r="B9" t="s">
        <v>124</v>
      </c>
      <c r="C9" s="1">
        <v>1</v>
      </c>
      <c r="D9" t="s">
        <v>123</v>
      </c>
      <c r="E9" s="6">
        <v>7.46</v>
      </c>
      <c r="F9" s="6">
        <f t="shared" si="0"/>
        <v>7.46</v>
      </c>
      <c r="G9" s="18" t="s">
        <v>122</v>
      </c>
      <c r="H9" t="s">
        <v>17</v>
      </c>
      <c r="I9" s="4" t="s">
        <v>121</v>
      </c>
    </row>
    <row r="10" spans="1:13" ht="18.75" customHeight="1" x14ac:dyDescent="0.25">
      <c r="A10" s="7"/>
      <c r="E10" s="6"/>
      <c r="F10" s="6"/>
      <c r="I10" s="4"/>
    </row>
    <row r="11" spans="1:13" ht="18.75" customHeight="1" x14ac:dyDescent="0.25">
      <c r="A11" s="7"/>
      <c r="E11" s="8"/>
      <c r="F11" s="6"/>
      <c r="I11" s="4"/>
    </row>
    <row r="12" spans="1:13" ht="18.75" customHeight="1" x14ac:dyDescent="0.25">
      <c r="A12" s="7"/>
      <c r="E12" s="6"/>
      <c r="F12" s="6"/>
      <c r="I12" s="4"/>
      <c r="L12" s="10"/>
    </row>
    <row r="13" spans="1:13" ht="18.75" customHeight="1" x14ac:dyDescent="0.25">
      <c r="A13" s="7"/>
      <c r="E13" s="6"/>
      <c r="F13" s="6"/>
      <c r="I13" s="4"/>
    </row>
    <row r="14" spans="1:13" ht="18.75" customHeight="1" x14ac:dyDescent="0.25">
      <c r="A14" s="7"/>
      <c r="E14" s="6"/>
      <c r="F14" s="6"/>
      <c r="I14" s="4"/>
    </row>
    <row r="15" spans="1:13" ht="18.75" customHeight="1" x14ac:dyDescent="0.25">
      <c r="A15" s="7"/>
      <c r="E15" s="6"/>
      <c r="F15" s="6"/>
      <c r="I15" s="4"/>
    </row>
    <row r="16" spans="1:13" ht="18.75" customHeight="1" x14ac:dyDescent="0.25">
      <c r="A16" s="7"/>
      <c r="E16" s="6"/>
      <c r="F16" s="6"/>
      <c r="I16" s="4"/>
    </row>
    <row r="17" spans="1:9" ht="18.75" customHeight="1" x14ac:dyDescent="0.25">
      <c r="A17" s="7"/>
      <c r="E17" s="6"/>
      <c r="F17" s="6"/>
      <c r="I17" s="4"/>
    </row>
    <row r="18" spans="1:9" ht="18.75" customHeight="1" x14ac:dyDescent="0.25">
      <c r="A18" s="7"/>
      <c r="E18" s="6"/>
      <c r="F18" s="6"/>
      <c r="I18" s="4"/>
    </row>
    <row r="19" spans="1:9" ht="18.75" customHeight="1" x14ac:dyDescent="0.25">
      <c r="A19" s="7"/>
      <c r="B19" s="11"/>
      <c r="E19" s="6"/>
      <c r="F19" s="6"/>
      <c r="I19" s="4"/>
    </row>
    <row r="20" spans="1:9" ht="18.75" customHeight="1" x14ac:dyDescent="0.25">
      <c r="A20" s="7"/>
      <c r="F20" s="6"/>
    </row>
    <row r="21" spans="1:9" ht="18.75" customHeight="1" x14ac:dyDescent="0.25">
      <c r="A21" s="7"/>
      <c r="F21" s="6"/>
    </row>
    <row r="22" spans="1:9" ht="18.75" customHeight="1" x14ac:dyDescent="0.25">
      <c r="A22" s="7"/>
      <c r="F22" s="6"/>
    </row>
    <row r="23" spans="1:9" ht="18.75" customHeight="1" x14ac:dyDescent="0.25">
      <c r="A23" s="7"/>
      <c r="F23" s="6"/>
    </row>
    <row r="24" spans="1:9" ht="18.75" customHeight="1" x14ac:dyDescent="0.25">
      <c r="A24" s="7"/>
      <c r="F24" s="6"/>
    </row>
    <row r="25" spans="1:9" ht="18.75" customHeight="1" x14ac:dyDescent="0.25">
      <c r="A25" s="7"/>
      <c r="F25" s="6"/>
    </row>
    <row r="26" spans="1:9" ht="18.75" customHeight="1" x14ac:dyDescent="0.25">
      <c r="A26" s="7"/>
      <c r="F26" s="6"/>
    </row>
    <row r="27" spans="1:9" ht="18.75" customHeight="1" x14ac:dyDescent="0.25">
      <c r="A27" s="7"/>
      <c r="F27" s="6"/>
    </row>
    <row r="28" spans="1:9" ht="18.75" customHeight="1" x14ac:dyDescent="0.25">
      <c r="A28" s="7"/>
      <c r="F28" s="6"/>
    </row>
  </sheetData>
  <mergeCells count="1">
    <mergeCell ref="A1:J1"/>
  </mergeCells>
  <hyperlinks>
    <hyperlink ref="I3" r:id="rId1" xr:uid="{148DEFB2-3910-4FA9-B7D9-8CB905D53C10}"/>
    <hyperlink ref="I4" r:id="rId2" xr:uid="{31FA8847-7967-4164-93B8-6406412FB7BF}"/>
    <hyperlink ref="I6" r:id="rId3" xr:uid="{86A79703-49EB-47E1-9CCD-37C98CA65A5C}"/>
    <hyperlink ref="I5" r:id="rId4" xr:uid="{860868CF-48D4-4FCB-B1A9-01883F41B746}"/>
    <hyperlink ref="I7" r:id="rId5" xr:uid="{445DF9B5-3525-4ED3-8DA1-31BE1072B85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FB939-D8FF-417F-A5EE-8568AE2C339F}">
  <dimension ref="A1"/>
  <sheetViews>
    <sheetView workbookViewId="0">
      <selection activeCell="G25" sqref="G25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A26FA5665C314A9C36D31B5342B588" ma:contentTypeVersion="15" ma:contentTypeDescription="Create a new document." ma:contentTypeScope="" ma:versionID="ff3c654cf7b3ad4fee40032bb27ce93d">
  <xsd:schema xmlns:xsd="http://www.w3.org/2001/XMLSchema" xmlns:xs="http://www.w3.org/2001/XMLSchema" xmlns:p="http://schemas.microsoft.com/office/2006/metadata/properties" xmlns:ns2="4c53a037-1bbd-4cc8-8a1f-aab242c37743" xmlns:ns3="203199a5-50cd-4b8b-b779-0a801fd48fe4" targetNamespace="http://schemas.microsoft.com/office/2006/metadata/properties" ma:root="true" ma:fieldsID="9ad1c4bc414478af05f6d589fcfb83ef" ns2:_="" ns3:_="">
    <xsd:import namespace="4c53a037-1bbd-4cc8-8a1f-aab242c37743"/>
    <xsd:import namespace="203199a5-50cd-4b8b-b779-0a801fd48f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53a037-1bbd-4cc8-8a1f-aab242c377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abce5ee-ca9a-4d2a-a8e0-de52926351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3199a5-50cd-4b8b-b779-0a801fd48fe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7a71e74-cff5-4bca-8ec6-836af2669585}" ma:internalName="TaxCatchAll" ma:showField="CatchAllData" ma:web="203199a5-50cd-4b8b-b779-0a801fd48f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03199a5-50cd-4b8b-b779-0a801fd48fe4" xsi:nil="true"/>
    <lcf76f155ced4ddcb4097134ff3c332f xmlns="4c53a037-1bbd-4cc8-8a1f-aab242c3774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873837-94C0-4982-AB91-58CE59100FA2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4c53a037-1bbd-4cc8-8a1f-aab242c37743"/>
    <ds:schemaRef ds:uri="203199a5-50cd-4b8b-b779-0a801fd48fe4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D0D2A57-EBC8-46A4-93C4-A6048A77A25F}">
  <ds:schemaRefs>
    <ds:schemaRef ds:uri="http://schemas.microsoft.com/office/2006/metadata/properties"/>
    <ds:schemaRef ds:uri="http://www.w3.org/2000/xmlns/"/>
    <ds:schemaRef ds:uri="203199a5-50cd-4b8b-b779-0a801fd48fe4"/>
    <ds:schemaRef ds:uri="http://www.w3.org/2001/XMLSchema-instance"/>
    <ds:schemaRef ds:uri="4c53a037-1bbd-4cc8-8a1f-aab242c37743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535AA5A-C662-4E32-85EF-8F4D53BBDA8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BoM</vt:lpstr>
      <vt:lpstr>Fasteners</vt:lpstr>
      <vt:lpstr>Printed Parts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Hall, Joshua</dc:creator>
  <cp:keywords/>
  <dc:description/>
  <cp:lastModifiedBy>Hall, Joshua</cp:lastModifiedBy>
  <cp:revision/>
  <dcterms:created xsi:type="dcterms:W3CDTF">2025-01-16T21:58:42Z</dcterms:created>
  <dcterms:modified xsi:type="dcterms:W3CDTF">2025-01-22T01:08:07Z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0x01010039A26FA5665C314A9C36D31B5342B588</vt:lpwstr>
  </property>
  <property fmtid="{D5CDD505-2E9C-101B-9397-08002B2CF9AE}" pid="3" name="MediaServiceImageTags">
    <vt:lpwstr/>
  </property>
</Properties>
</file>